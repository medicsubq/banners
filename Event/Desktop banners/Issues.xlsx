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hruv\Downloads\"/>
    </mc:Choice>
  </mc:AlternateContent>
  <xr:revisionPtr revIDLastSave="0" documentId="13_ncr:1_{BFC0D06C-736D-4435-93BE-0264D38A0A50}" xr6:coauthVersionLast="47" xr6:coauthVersionMax="47" xr10:uidLastSave="{00000000-0000-0000-0000-000000000000}"/>
  <bookViews>
    <workbookView xWindow="-108" yWindow="-108" windowWidth="23256" windowHeight="12456" xr2:uid="{00000000-000D-0000-FFFF-FFFF00000000}"/>
  </bookViews>
  <sheets>
    <sheet name="Issue List" sheetId="1" r:id="rId1"/>
    <sheet name="Bil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4" i="2" l="1"/>
  <c r="M14" i="2"/>
  <c r="L9" i="2"/>
</calcChain>
</file>

<file path=xl/sharedStrings.xml><?xml version="1.0" encoding="utf-8"?>
<sst xmlns="http://schemas.openxmlformats.org/spreadsheetml/2006/main" count="162" uniqueCount="94">
  <si>
    <t>SLNO</t>
  </si>
  <si>
    <t>Scenario</t>
  </si>
  <si>
    <t>Flow id</t>
  </si>
  <si>
    <t>PWC Comments</t>
  </si>
  <si>
    <t>medics Comment</t>
  </si>
  <si>
    <t>OP Cash with Credit Note cum Refund</t>
  </si>
  <si>
    <t>816, 817, 818, 819, 820, 821</t>
  </si>
  <si>
    <t>1.When bill is cancelled, roundoff value received in the original bill must also be cancelled.Else itwill cause a revenue mismatch.
2.As discussed and agreed whenever there is a cancel collection , the amount has to move to advance bucket. Only cancel line is seen. Highlighted yesterday also.
Billis incorrect .</t>
  </si>
  <si>
    <t>1. As we can't cancel the created roundOff, but if it is a case where current amounts total is not exact 0 but with some point, there may be a case of testing bill problem as we are using testing bills.
2. Check for the flowId 820 as mention, This is a Advance entries</t>
  </si>
  <si>
    <t>OP Pharmacy Bills with Credit Note cum Refund</t>
  </si>
  <si>
    <t>800, 801, 802</t>
  </si>
  <si>
    <t>1.The scenario has missing refund line.
2.Settlement cancellation is missing</t>
  </si>
  <si>
    <t>As per our HIS design:
- OP Cash Bills → We do not generate Credit Notes.
- OP Pharmacy Bills → Refunds are processed as a Credit Note + Refund transaction.
In medics HIS, we don’t cancel the original receipt for any Pharmacy Bills, since that would not align with our internal workflow. However, to meet your requirement, we will generate synthetic Receipt Cancel and Settlement Cancel records in the middleware. These will not exist in HIS but will be consistently derived whenever a retail refund scenario occurs, so that you receive data in your expected format.</t>
  </si>
  <si>
    <t>OP Pharmacy Bills Amendments</t>
  </si>
  <si>
    <t>803, 804, 805</t>
  </si>
  <si>
    <t>1.Collection and settlement is not cancelled.
On a settled bill if amendment is performed , bill must be cancelled.</t>
  </si>
  <si>
    <t>OP Pharmacy Bills Full Cancellation</t>
  </si>
  <si>
    <t>806, 807, 808</t>
  </si>
  <si>
    <t>1.Collection and settlement is not cancelled.</t>
  </si>
  <si>
    <t>OP Credit Bill</t>
  </si>
  <si>
    <t>809, 810</t>
  </si>
  <si>
    <t>1.Received an extra collection with 784 from cash customer.
2.Credit bill with third party flag 'Y' , there is rounding off difference.</t>
  </si>
  <si>
    <t>New flowID's: 860, 861</t>
  </si>
  <si>
    <t>OP Credit Bill Cancellation</t>
  </si>
  <si>
    <t>811, 812, 813, 814, 815</t>
  </si>
  <si>
    <t>1.According to the bill Rs 8 is present in the advance wallet.</t>
  </si>
  <si>
    <t>Amount is available in advance, Hospital may refund that amount later</t>
  </si>
  <si>
    <t>IP Cash with Full Cancellation</t>
  </si>
  <si>
    <t>828, 829, 830, 831, 832</t>
  </si>
  <si>
    <t>1.Please confirm if the bill is open. Full bill cancellation and the bill is open.</t>
  </si>
  <si>
    <t>This is case where only receipt cancel and amount is refunded, also for complete bill cancel SubScenario 2. is given</t>
  </si>
  <si>
    <t>833, 834, 835, 836, 837</t>
  </si>
  <si>
    <t>1.According to the bill Rs 1800 is present in the advance wallet.</t>
  </si>
  <si>
    <t>IP Cash with Credit Note cum Refund</t>
  </si>
  <si>
    <t>838, 839, 840, 841, 842</t>
  </si>
  <si>
    <t>1.Open Bill.
2.The scenahrio IP cash with credit note , but there is neither credit note nor cancellation.</t>
  </si>
  <si>
    <t xml:space="preserve">
As per Our previous discussion we can not create credit note for IP bills (credit note records only possible for sales return or waiveoff)
</t>
  </si>
  <si>
    <t>IP Payer Credit Bill with CO-PAY</t>
  </si>
  <si>
    <t>796, 797</t>
  </si>
  <si>
    <t>1.Extra collection of 395 from patient.</t>
  </si>
  <si>
    <t>New flowID's: 862, 863</t>
  </si>
  <si>
    <t>IP Payer Credit Bill Cancellation</t>
  </si>
  <si>
    <t>798, 799</t>
  </si>
  <si>
    <t>1.Bill is Correct</t>
  </si>
  <si>
    <t>Patient Waive Off</t>
  </si>
  <si>
    <t>776, 777</t>
  </si>
  <si>
    <t>1.Credit note must have a reference to the original reference invoice number</t>
  </si>
  <si>
    <t>New Flow id's: 866, 867</t>
  </si>
  <si>
    <t>778, 779, 780</t>
  </si>
  <si>
    <t>New Flow id's: 868, 869, 870</t>
  </si>
  <si>
    <t>Patient Waive Off Cancellation</t>
  </si>
  <si>
    <t>781, 782, 783</t>
  </si>
  <si>
    <t>New Flow id's: 871, 872, 873</t>
  </si>
  <si>
    <t>784, 785, 786, 787</t>
  </si>
  <si>
    <t>New Flow id's: 874, 875, 876, 877</t>
  </si>
  <si>
    <t>Payer Waive Off</t>
  </si>
  <si>
    <t>788, 789</t>
  </si>
  <si>
    <t>New Flow id's: 878, 879</t>
  </si>
  <si>
    <t>793, 794, 795</t>
  </si>
  <si>
    <t>1.Extra collection of 500 from patient.
2.Credit note must have a reference to the original reference invoice number</t>
  </si>
  <si>
    <t>New Flow id's: 880, 881, 882</t>
  </si>
  <si>
    <t>Index</t>
  </si>
  <si>
    <t>Visit Type</t>
  </si>
  <si>
    <t>Nature</t>
  </si>
  <si>
    <t>NATURE_OF_TRANSACTION</t>
  </si>
  <si>
    <t>TRANSACTION_TYPE</t>
  </si>
  <si>
    <t>TYPE</t>
  </si>
  <si>
    <t>LINE_TYPE</t>
  </si>
  <si>
    <t>CANCELLED_FLAG</t>
  </si>
  <si>
    <t>THIRD_PARTY_FLAG</t>
  </si>
  <si>
    <t>PAYMODE</t>
  </si>
  <si>
    <t>TRANSACTION BASE AMOUNT</t>
  </si>
  <si>
    <t>PATIENT_PAYABLE</t>
  </si>
  <si>
    <t>SPONSER_PAYABLE</t>
  </si>
  <si>
    <t>ROUND-OFF</t>
  </si>
  <si>
    <t>DISCOUNT</t>
  </si>
  <si>
    <t>CGST_AMOUNT</t>
  </si>
  <si>
    <t>SGST_AMOUNT</t>
  </si>
  <si>
    <t>OP</t>
  </si>
  <si>
    <t>Cash+Credit Bills</t>
  </si>
  <si>
    <t>BILLING</t>
  </si>
  <si>
    <t>INVOICE</t>
  </si>
  <si>
    <t>SERVICE/ITEM</t>
  </si>
  <si>
    <t>N</t>
  </si>
  <si>
    <t>CGST</t>
  </si>
  <si>
    <t>SGST</t>
  </si>
  <si>
    <t>ROUND OFF</t>
  </si>
  <si>
    <t>Y</t>
  </si>
  <si>
    <t>COLLECTION</t>
  </si>
  <si>
    <t>RECEIPT</t>
  </si>
  <si>
    <t>SETTLEMENT</t>
  </si>
  <si>
    <t>NOT REQIRE FOR PAYER</t>
  </si>
  <si>
    <t>TOTALS (-DISCOUNT)</t>
  </si>
  <si>
    <t>N is now Y in new flowId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</si>
</sst>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2"/>
      <color theme="1"/>
      <name val="Aptos"/>
    </font>
    <font>
      <sz val="12"/>
      <color theme="1"/>
      <name val="Arial"/>
    </font>
    <font>
      <sz val="11"/>
      <color theme="1"/>
      <name val="Arial"/>
    </font>
    <font>
      <sz val="10"/>
      <name val="Arial"/>
    </font>
    <font>
      <sz val="11"/>
      <color theme="1"/>
      <name val="Aptos Narrow"/>
    </font>
    <font>
      <sz val="12"/>
      <color rgb="FFFFFFFF"/>
      <name val="Times New Roman"/>
    </font>
    <font>
      <sz val="12"/>
      <color theme="1"/>
      <name val="Times New Roman"/>
    </font>
    <font>
      <sz val="10"/>
      <color rgb="FFFFFFFF"/>
      <name val="Arial"/>
      <scheme val="minor"/>
    </font>
  </fonts>
  <fills count="8">
    <fill>
      <patternFill patternType="none"/>
    </fill>
    <fill>
      <patternFill patternType="gray125"/>
    </fill>
    <fill>
      <patternFill patternType="solid">
        <fgColor rgb="FFDAE9F8"/>
        <bgColor rgb="FFDAE9F8"/>
      </patternFill>
    </fill>
    <fill>
      <patternFill patternType="solid">
        <fgColor rgb="FFFFFFFF"/>
        <bgColor rgb="FFFFFFFF"/>
      </patternFill>
    </fill>
    <fill>
      <patternFill patternType="solid">
        <fgColor rgb="FF153D64"/>
        <bgColor rgb="FF153D64"/>
      </patternFill>
    </fill>
    <fill>
      <patternFill patternType="solid">
        <fgColor rgb="FF002060"/>
        <bgColor rgb="FF002060"/>
      </patternFill>
    </fill>
    <fill>
      <patternFill patternType="solid">
        <fgColor rgb="FFF4CCCC"/>
        <bgColor rgb="FFF4CCCC"/>
      </patternFill>
    </fill>
    <fill>
      <patternFill patternType="solid">
        <fgColor rgb="FF990000"/>
        <bgColor rgb="FF99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6">
    <xf numFmtId="0" fontId="0" fillId="0" borderId="0" xfId="0" applyFont="1" applyAlignment="1"/>
    <xf numFmtId="0" fontId="1" fillId="2" borderId="1" xfId="0" applyFont="1" applyFill="1" applyBorder="1" applyAlignment="1"/>
    <xf numFmtId="0" fontId="2" fillId="2" borderId="1" xfId="0" applyFont="1" applyFill="1" applyBorder="1" applyAlignment="1"/>
    <xf numFmtId="0" fontId="3" fillId="2" borderId="1" xfId="0" applyFont="1" applyFill="1" applyBorder="1" applyAlignment="1"/>
    <xf numFmtId="0" fontId="1" fillId="3" borderId="1" xfId="0" applyFont="1" applyFill="1" applyBorder="1" applyAlignment="1">
      <alignment horizontal="right"/>
    </xf>
    <xf numFmtId="0" fontId="1" fillId="3" borderId="1" xfId="0" applyFont="1" applyFill="1" applyBorder="1" applyAlignment="1"/>
    <xf numFmtId="0" fontId="3" fillId="0" borderId="1" xfId="0" applyFont="1" applyBorder="1" applyAlignment="1"/>
    <xf numFmtId="0" fontId="5" fillId="3" borderId="1" xfId="0" applyFont="1" applyFill="1" applyBorder="1" applyAlignment="1"/>
    <xf numFmtId="0" fontId="2" fillId="3" borderId="1" xfId="0" applyFont="1" applyFill="1" applyBorder="1" applyAlignment="1"/>
    <xf numFmtId="0" fontId="5" fillId="0" borderId="1" xfId="0" applyFont="1" applyBorder="1" applyAlignment="1"/>
    <xf numFmtId="0" fontId="6" fillId="4" borderId="1" xfId="0" applyFont="1" applyFill="1" applyBorder="1" applyAlignment="1"/>
    <xf numFmtId="0" fontId="6" fillId="5" borderId="1" xfId="0" applyFont="1" applyFill="1" applyBorder="1" applyAlignment="1"/>
    <xf numFmtId="0" fontId="7" fillId="6" borderId="1" xfId="0" applyFont="1" applyFill="1" applyBorder="1" applyAlignment="1">
      <alignment horizontal="right"/>
    </xf>
    <xf numFmtId="0" fontId="7" fillId="6" borderId="1" xfId="0" applyFont="1" applyFill="1" applyBorder="1"/>
    <xf numFmtId="0" fontId="7" fillId="6" borderId="1" xfId="0" applyFont="1" applyFill="1" applyBorder="1" applyAlignment="1"/>
    <xf numFmtId="0" fontId="5" fillId="6" borderId="1" xfId="0" applyFont="1" applyFill="1" applyBorder="1" applyAlignment="1"/>
    <xf numFmtId="0" fontId="7" fillId="6" borderId="1" xfId="0" applyFont="1" applyFill="1" applyBorder="1" applyAlignment="1">
      <alignment horizontal="right"/>
    </xf>
    <xf numFmtId="0" fontId="5" fillId="6" borderId="1" xfId="0" applyFont="1" applyFill="1" applyBorder="1"/>
    <xf numFmtId="0" fontId="7" fillId="7" borderId="1" xfId="0" applyFont="1" applyFill="1" applyBorder="1" applyAlignment="1"/>
    <xf numFmtId="0" fontId="3" fillId="6" borderId="1" xfId="0" applyFont="1" applyFill="1" applyBorder="1" applyAlignment="1"/>
    <xf numFmtId="0" fontId="5" fillId="6" borderId="1" xfId="0" applyFont="1" applyFill="1" applyBorder="1" applyAlignment="1">
      <alignment horizontal="right"/>
    </xf>
    <xf numFmtId="0" fontId="8" fillId="7" borderId="1" xfId="0" applyFont="1" applyFill="1" applyBorder="1" applyAlignment="1"/>
    <xf numFmtId="0" fontId="3" fillId="0" borderId="1" xfId="0" applyFont="1" applyBorder="1" applyAlignment="1">
      <alignment wrapText="1"/>
    </xf>
    <xf numFmtId="0" fontId="4" fillId="0" borderId="3" xfId="0" applyFont="1" applyBorder="1"/>
    <xf numFmtId="0" fontId="4" fillId="0" borderId="4" xfId="0" applyFont="1" applyBorder="1"/>
    <xf numFmtId="0" fontId="3"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8"/>
  <sheetViews>
    <sheetView tabSelected="1" topLeftCell="D1" workbookViewId="0">
      <selection activeCell="E7" sqref="E7"/>
    </sheetView>
  </sheetViews>
  <sheetFormatPr defaultColWidth="12.6640625" defaultRowHeight="13.2" x14ac:dyDescent="0.25"/>
  <cols>
    <col min="1" max="1" width="6.44140625" customWidth="1"/>
    <col min="2" max="2" width="43.77734375" customWidth="1"/>
    <col min="3" max="3" width="26.6640625" customWidth="1"/>
    <col min="4" max="4" width="145.44140625" customWidth="1"/>
    <col min="5" max="5" width="160.88671875" customWidth="1"/>
  </cols>
  <sheetData>
    <row r="1" spans="1:5" ht="15.6" x14ac:dyDescent="0.3">
      <c r="A1" s="1" t="s">
        <v>0</v>
      </c>
      <c r="B1" s="1" t="s">
        <v>1</v>
      </c>
      <c r="C1" s="1" t="s">
        <v>2</v>
      </c>
      <c r="D1" s="2" t="s">
        <v>3</v>
      </c>
      <c r="E1" s="3" t="s">
        <v>4</v>
      </c>
    </row>
    <row r="2" spans="1:5" ht="42" x14ac:dyDescent="0.3">
      <c r="A2" s="4">
        <v>1</v>
      </c>
      <c r="B2" s="5" t="s">
        <v>5</v>
      </c>
      <c r="C2" s="5" t="s">
        <v>6</v>
      </c>
      <c r="D2" s="5" t="s">
        <v>7</v>
      </c>
      <c r="E2" s="22" t="s">
        <v>8</v>
      </c>
    </row>
    <row r="3" spans="1:5" ht="15.6" x14ac:dyDescent="0.3">
      <c r="A3" s="4">
        <v>2</v>
      </c>
      <c r="B3" s="5" t="s">
        <v>9</v>
      </c>
      <c r="C3" s="5" t="s">
        <v>10</v>
      </c>
      <c r="D3" s="5" t="s">
        <v>11</v>
      </c>
      <c r="E3" s="25" t="s">
        <v>12</v>
      </c>
    </row>
    <row r="4" spans="1:5" ht="15.6" x14ac:dyDescent="0.3">
      <c r="A4" s="4">
        <v>3</v>
      </c>
      <c r="B4" s="5" t="s">
        <v>13</v>
      </c>
      <c r="C4" s="5" t="s">
        <v>14</v>
      </c>
      <c r="D4" s="5" t="s">
        <v>15</v>
      </c>
      <c r="E4" s="23"/>
    </row>
    <row r="5" spans="1:5" ht="15.6" x14ac:dyDescent="0.3">
      <c r="A5" s="4">
        <v>4</v>
      </c>
      <c r="B5" s="5" t="s">
        <v>16</v>
      </c>
      <c r="C5" s="5" t="s">
        <v>17</v>
      </c>
      <c r="D5" s="5" t="s">
        <v>18</v>
      </c>
      <c r="E5" s="24"/>
    </row>
    <row r="6" spans="1:5" ht="15.6" x14ac:dyDescent="0.3">
      <c r="A6" s="4">
        <v>5</v>
      </c>
      <c r="B6" s="5" t="s">
        <v>19</v>
      </c>
      <c r="C6" s="5" t="s">
        <v>20</v>
      </c>
      <c r="D6" s="5" t="s">
        <v>21</v>
      </c>
      <c r="E6" s="6" t="s">
        <v>22</v>
      </c>
    </row>
    <row r="7" spans="1:5" ht="15.6" x14ac:dyDescent="0.3">
      <c r="A7" s="4">
        <v>6</v>
      </c>
      <c r="B7" s="5" t="s">
        <v>23</v>
      </c>
      <c r="C7" s="5" t="s">
        <v>24</v>
      </c>
      <c r="D7" s="5" t="s">
        <v>25</v>
      </c>
      <c r="E7" s="6" t="s">
        <v>26</v>
      </c>
    </row>
    <row r="8" spans="1:5" ht="15.6" x14ac:dyDescent="0.3">
      <c r="A8" s="4">
        <v>7</v>
      </c>
      <c r="B8" s="5" t="s">
        <v>27</v>
      </c>
      <c r="C8" s="5" t="s">
        <v>28</v>
      </c>
      <c r="D8" s="5" t="s">
        <v>29</v>
      </c>
      <c r="E8" s="6" t="s">
        <v>30</v>
      </c>
    </row>
    <row r="9" spans="1:5" ht="15.6" x14ac:dyDescent="0.3">
      <c r="A9" s="7"/>
      <c r="B9" s="7"/>
      <c r="C9" s="5" t="s">
        <v>31</v>
      </c>
      <c r="D9" s="5" t="s">
        <v>32</v>
      </c>
      <c r="E9" s="6" t="s">
        <v>26</v>
      </c>
    </row>
    <row r="10" spans="1:5" ht="15.6" x14ac:dyDescent="0.3">
      <c r="A10" s="4">
        <v>8</v>
      </c>
      <c r="B10" s="5" t="s">
        <v>33</v>
      </c>
      <c r="C10" s="5" t="s">
        <v>34</v>
      </c>
      <c r="D10" s="8" t="s">
        <v>35</v>
      </c>
      <c r="E10" s="6" t="s">
        <v>36</v>
      </c>
    </row>
    <row r="11" spans="1:5" ht="15.6" x14ac:dyDescent="0.3">
      <c r="A11" s="4">
        <v>9</v>
      </c>
      <c r="B11" s="5" t="s">
        <v>37</v>
      </c>
      <c r="C11" s="5" t="s">
        <v>38</v>
      </c>
      <c r="D11" s="5" t="s">
        <v>39</v>
      </c>
      <c r="E11" s="6" t="s">
        <v>40</v>
      </c>
    </row>
    <row r="12" spans="1:5" ht="15.6" x14ac:dyDescent="0.3">
      <c r="A12" s="4">
        <v>10</v>
      </c>
      <c r="B12" s="5" t="s">
        <v>41</v>
      </c>
      <c r="C12" s="5" t="s">
        <v>42</v>
      </c>
      <c r="D12" s="5" t="s">
        <v>43</v>
      </c>
      <c r="E12" s="9"/>
    </row>
    <row r="13" spans="1:5" ht="15.6" x14ac:dyDescent="0.3">
      <c r="A13" s="4">
        <v>11</v>
      </c>
      <c r="B13" s="5" t="s">
        <v>44</v>
      </c>
      <c r="C13" s="5" t="s">
        <v>45</v>
      </c>
      <c r="D13" s="5" t="s">
        <v>46</v>
      </c>
      <c r="E13" s="6" t="s">
        <v>47</v>
      </c>
    </row>
    <row r="14" spans="1:5" ht="15.6" x14ac:dyDescent="0.3">
      <c r="A14" s="7"/>
      <c r="B14" s="7"/>
      <c r="C14" s="5" t="s">
        <v>48</v>
      </c>
      <c r="D14" s="5" t="s">
        <v>46</v>
      </c>
      <c r="E14" s="6" t="s">
        <v>49</v>
      </c>
    </row>
    <row r="15" spans="1:5" ht="15.6" x14ac:dyDescent="0.3">
      <c r="A15" s="4">
        <v>12</v>
      </c>
      <c r="B15" s="5" t="s">
        <v>50</v>
      </c>
      <c r="C15" s="5" t="s">
        <v>51</v>
      </c>
      <c r="D15" s="5" t="s">
        <v>46</v>
      </c>
      <c r="E15" s="6" t="s">
        <v>52</v>
      </c>
    </row>
    <row r="16" spans="1:5" ht="15.6" x14ac:dyDescent="0.3">
      <c r="A16" s="7"/>
      <c r="B16" s="7"/>
      <c r="C16" s="5" t="s">
        <v>53</v>
      </c>
      <c r="D16" s="5" t="s">
        <v>46</v>
      </c>
      <c r="E16" s="6" t="s">
        <v>54</v>
      </c>
    </row>
    <row r="17" spans="1:5" ht="15.6" x14ac:dyDescent="0.3">
      <c r="A17" s="4">
        <v>13</v>
      </c>
      <c r="B17" s="5" t="s">
        <v>55</v>
      </c>
      <c r="C17" s="5" t="s">
        <v>56</v>
      </c>
      <c r="D17" s="5" t="s">
        <v>46</v>
      </c>
      <c r="E17" s="6" t="s">
        <v>57</v>
      </c>
    </row>
    <row r="18" spans="1:5" ht="15.6" x14ac:dyDescent="0.3">
      <c r="A18" s="7"/>
      <c r="B18" s="7"/>
      <c r="C18" s="8" t="s">
        <v>58</v>
      </c>
      <c r="D18" s="5" t="s">
        <v>59</v>
      </c>
      <c r="E18" s="6" t="s">
        <v>60</v>
      </c>
    </row>
  </sheetData>
  <mergeCells count="1">
    <mergeCell ref="E3:E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5"/>
  <sheetViews>
    <sheetView workbookViewId="0"/>
  </sheetViews>
  <sheetFormatPr defaultColWidth="12.6640625" defaultRowHeight="15.75" customHeight="1" x14ac:dyDescent="0.25"/>
  <sheetData>
    <row r="1" spans="1:18" ht="15.75" customHeight="1" x14ac:dyDescent="0.3">
      <c r="A1" s="10" t="s">
        <v>61</v>
      </c>
      <c r="B1" s="10" t="s">
        <v>1</v>
      </c>
      <c r="C1" s="10" t="s">
        <v>62</v>
      </c>
      <c r="D1" s="10" t="s">
        <v>63</v>
      </c>
      <c r="E1" s="10" t="s">
        <v>64</v>
      </c>
      <c r="F1" s="10" t="s">
        <v>65</v>
      </c>
      <c r="G1" s="10" t="s">
        <v>66</v>
      </c>
      <c r="H1" s="10" t="s">
        <v>67</v>
      </c>
      <c r="I1" s="10" t="s">
        <v>68</v>
      </c>
      <c r="J1" s="10" t="s">
        <v>69</v>
      </c>
      <c r="K1" s="10" t="s">
        <v>70</v>
      </c>
      <c r="L1" s="11" t="s">
        <v>71</v>
      </c>
      <c r="M1" s="11" t="s">
        <v>72</v>
      </c>
      <c r="N1" s="11" t="s">
        <v>73</v>
      </c>
      <c r="O1" s="11" t="s">
        <v>74</v>
      </c>
      <c r="P1" s="11" t="s">
        <v>75</v>
      </c>
      <c r="Q1" s="11" t="s">
        <v>76</v>
      </c>
      <c r="R1" s="11" t="s">
        <v>77</v>
      </c>
    </row>
    <row r="2" spans="1:18" ht="15.75" customHeight="1" x14ac:dyDescent="0.3">
      <c r="A2" s="12">
        <v>18</v>
      </c>
      <c r="B2" s="13" t="s">
        <v>19</v>
      </c>
      <c r="C2" s="13" t="s">
        <v>78</v>
      </c>
      <c r="D2" s="13" t="s">
        <v>79</v>
      </c>
      <c r="E2" s="14" t="s">
        <v>80</v>
      </c>
      <c r="F2" s="14" t="s">
        <v>80</v>
      </c>
      <c r="G2" s="14" t="s">
        <v>81</v>
      </c>
      <c r="H2" s="14" t="s">
        <v>82</v>
      </c>
      <c r="I2" s="14" t="s">
        <v>83</v>
      </c>
      <c r="J2" s="14" t="s">
        <v>83</v>
      </c>
      <c r="K2" s="15"/>
      <c r="L2" s="16">
        <v>403.7</v>
      </c>
      <c r="M2" s="16">
        <v>20.18</v>
      </c>
      <c r="N2" s="16">
        <v>383.52</v>
      </c>
      <c r="O2" s="15"/>
      <c r="P2" s="15"/>
      <c r="Q2" s="15"/>
      <c r="R2" s="15"/>
    </row>
    <row r="3" spans="1:18" ht="15.75" customHeight="1" x14ac:dyDescent="0.3">
      <c r="A3" s="17"/>
      <c r="B3" s="17"/>
      <c r="C3" s="17"/>
      <c r="D3" s="17"/>
      <c r="E3" s="14" t="s">
        <v>80</v>
      </c>
      <c r="F3" s="14" t="s">
        <v>80</v>
      </c>
      <c r="G3" s="14" t="s">
        <v>81</v>
      </c>
      <c r="H3" s="14" t="s">
        <v>75</v>
      </c>
      <c r="I3" s="14" t="s">
        <v>83</v>
      </c>
      <c r="J3" s="14" t="s">
        <v>83</v>
      </c>
      <c r="K3" s="15"/>
      <c r="L3" s="16">
        <v>40.369999999999997</v>
      </c>
      <c r="M3" s="16">
        <v>2.0099999999999998</v>
      </c>
      <c r="N3" s="16">
        <v>38.36</v>
      </c>
      <c r="O3" s="15"/>
      <c r="P3" s="16">
        <v>40.369999999999997</v>
      </c>
      <c r="Q3" s="15"/>
      <c r="R3" s="15"/>
    </row>
    <row r="4" spans="1:18" ht="15.75" customHeight="1" x14ac:dyDescent="0.3">
      <c r="A4" s="17"/>
      <c r="B4" s="17"/>
      <c r="C4" s="17"/>
      <c r="D4" s="17"/>
      <c r="E4" s="14" t="s">
        <v>80</v>
      </c>
      <c r="F4" s="14" t="s">
        <v>80</v>
      </c>
      <c r="G4" s="14" t="s">
        <v>81</v>
      </c>
      <c r="H4" s="14" t="s">
        <v>82</v>
      </c>
      <c r="I4" s="14" t="s">
        <v>83</v>
      </c>
      <c r="J4" s="14" t="s">
        <v>83</v>
      </c>
      <c r="K4" s="15"/>
      <c r="L4" s="16">
        <v>458.7</v>
      </c>
      <c r="M4" s="16">
        <v>22.93</v>
      </c>
      <c r="N4" s="16">
        <v>435.77</v>
      </c>
      <c r="O4" s="15"/>
      <c r="P4" s="15"/>
      <c r="Q4" s="15"/>
      <c r="R4" s="15"/>
    </row>
    <row r="5" spans="1:18" ht="15.75" customHeight="1" x14ac:dyDescent="0.3">
      <c r="A5" s="17"/>
      <c r="B5" s="17"/>
      <c r="C5" s="17"/>
      <c r="D5" s="17"/>
      <c r="E5" s="14" t="s">
        <v>80</v>
      </c>
      <c r="F5" s="14" t="s">
        <v>80</v>
      </c>
      <c r="G5" s="14" t="s">
        <v>81</v>
      </c>
      <c r="H5" s="14" t="s">
        <v>75</v>
      </c>
      <c r="I5" s="14" t="s">
        <v>83</v>
      </c>
      <c r="J5" s="14" t="s">
        <v>83</v>
      </c>
      <c r="K5" s="15"/>
      <c r="L5" s="16">
        <v>45.87</v>
      </c>
      <c r="M5" s="16">
        <v>2.29</v>
      </c>
      <c r="N5" s="16">
        <v>43.58</v>
      </c>
      <c r="O5" s="15"/>
      <c r="P5" s="16">
        <v>45.87</v>
      </c>
      <c r="Q5" s="15"/>
      <c r="R5" s="15"/>
    </row>
    <row r="6" spans="1:18" ht="15.75" customHeight="1" x14ac:dyDescent="0.3">
      <c r="A6" s="17"/>
      <c r="B6" s="17"/>
      <c r="C6" s="17"/>
      <c r="D6" s="17"/>
      <c r="E6" s="14" t="s">
        <v>80</v>
      </c>
      <c r="F6" s="14" t="s">
        <v>80</v>
      </c>
      <c r="G6" s="14" t="s">
        <v>81</v>
      </c>
      <c r="H6" s="14" t="s">
        <v>84</v>
      </c>
      <c r="I6" s="14" t="s">
        <v>83</v>
      </c>
      <c r="J6" s="14" t="s">
        <v>83</v>
      </c>
      <c r="K6" s="15"/>
      <c r="L6" s="16">
        <v>24.77</v>
      </c>
      <c r="M6" s="16">
        <v>1.24</v>
      </c>
      <c r="N6" s="16">
        <v>23.53</v>
      </c>
      <c r="O6" s="15"/>
      <c r="P6" s="15"/>
      <c r="Q6" s="16">
        <v>24.77</v>
      </c>
      <c r="R6" s="15"/>
    </row>
    <row r="7" spans="1:18" ht="15.75" customHeight="1" x14ac:dyDescent="0.3">
      <c r="A7" s="17"/>
      <c r="B7" s="17"/>
      <c r="C7" s="17"/>
      <c r="D7" s="17"/>
      <c r="E7" s="14" t="s">
        <v>80</v>
      </c>
      <c r="F7" s="14" t="s">
        <v>80</v>
      </c>
      <c r="G7" s="14" t="s">
        <v>81</v>
      </c>
      <c r="H7" s="14" t="s">
        <v>85</v>
      </c>
      <c r="I7" s="14" t="s">
        <v>83</v>
      </c>
      <c r="J7" s="14" t="s">
        <v>83</v>
      </c>
      <c r="K7" s="15"/>
      <c r="L7" s="16">
        <v>24.77</v>
      </c>
      <c r="M7" s="16">
        <v>1.24</v>
      </c>
      <c r="N7" s="16">
        <v>23.77</v>
      </c>
      <c r="O7" s="15"/>
      <c r="P7" s="15"/>
      <c r="Q7" s="16">
        <v>24.77</v>
      </c>
      <c r="R7" s="15"/>
    </row>
    <row r="8" spans="1:18" ht="15.75" customHeight="1" x14ac:dyDescent="0.3">
      <c r="A8" s="17"/>
      <c r="B8" s="17"/>
      <c r="C8" s="17"/>
      <c r="D8" s="17"/>
      <c r="E8" s="14" t="s">
        <v>80</v>
      </c>
      <c r="F8" s="14" t="s">
        <v>80</v>
      </c>
      <c r="G8" s="14" t="s">
        <v>81</v>
      </c>
      <c r="H8" s="14" t="s">
        <v>86</v>
      </c>
      <c r="I8" s="14" t="s">
        <v>83</v>
      </c>
      <c r="J8" s="14" t="s">
        <v>83</v>
      </c>
      <c r="K8" s="15"/>
      <c r="L8" s="16">
        <v>-0.94</v>
      </c>
      <c r="M8" s="16">
        <v>-0.28999999999999998</v>
      </c>
      <c r="N8" s="16">
        <v>-0.65</v>
      </c>
      <c r="O8" s="16">
        <v>-0.94</v>
      </c>
      <c r="P8" s="15"/>
      <c r="Q8" s="15"/>
      <c r="R8" s="15"/>
    </row>
    <row r="9" spans="1:18" ht="15.75" customHeight="1" x14ac:dyDescent="0.3">
      <c r="A9" s="17"/>
      <c r="B9" s="17"/>
      <c r="C9" s="17"/>
      <c r="D9" s="17"/>
      <c r="E9" s="14" t="s">
        <v>80</v>
      </c>
      <c r="F9" s="14" t="s">
        <v>80</v>
      </c>
      <c r="G9" s="14" t="s">
        <v>81</v>
      </c>
      <c r="H9" s="14" t="s">
        <v>82</v>
      </c>
      <c r="I9" s="14" t="s">
        <v>83</v>
      </c>
      <c r="J9" s="14" t="s">
        <v>87</v>
      </c>
      <c r="K9" s="15"/>
      <c r="L9" s="16">
        <f>N2+N4+N6+N7+N8-N5-N3</f>
        <v>783.99999999999989</v>
      </c>
      <c r="M9" s="15"/>
      <c r="N9" s="15"/>
      <c r="O9" s="15"/>
      <c r="P9" s="15"/>
      <c r="Q9" s="15"/>
      <c r="R9" s="15"/>
    </row>
    <row r="10" spans="1:18" ht="15.75" customHeight="1" x14ac:dyDescent="0.3">
      <c r="A10" s="17"/>
      <c r="B10" s="17"/>
      <c r="C10" s="17"/>
      <c r="D10" s="17"/>
      <c r="E10" s="14" t="s">
        <v>88</v>
      </c>
      <c r="F10" s="14" t="s">
        <v>88</v>
      </c>
      <c r="G10" s="14" t="s">
        <v>89</v>
      </c>
      <c r="H10" s="14" t="s">
        <v>89</v>
      </c>
      <c r="I10" s="14" t="s">
        <v>83</v>
      </c>
      <c r="J10" s="14" t="s">
        <v>83</v>
      </c>
      <c r="K10" s="15"/>
      <c r="L10" s="16">
        <v>41</v>
      </c>
      <c r="M10" s="15"/>
      <c r="N10" s="15"/>
      <c r="O10" s="15"/>
      <c r="P10" s="15"/>
      <c r="Q10" s="15"/>
      <c r="R10" s="15"/>
    </row>
    <row r="11" spans="1:18" ht="15.75" customHeight="1" x14ac:dyDescent="0.3">
      <c r="A11" s="17"/>
      <c r="B11" s="17"/>
      <c r="C11" s="17"/>
      <c r="D11" s="17"/>
      <c r="E11" s="14" t="s">
        <v>90</v>
      </c>
      <c r="F11" s="14" t="s">
        <v>90</v>
      </c>
      <c r="G11" s="14" t="s">
        <v>90</v>
      </c>
      <c r="H11" s="14" t="s">
        <v>90</v>
      </c>
      <c r="I11" s="14" t="s">
        <v>83</v>
      </c>
      <c r="J11" s="14" t="s">
        <v>83</v>
      </c>
      <c r="K11" s="15"/>
      <c r="L11" s="16">
        <v>41</v>
      </c>
      <c r="M11" s="15"/>
      <c r="N11" s="15"/>
      <c r="O11" s="15"/>
      <c r="P11" s="15"/>
      <c r="Q11" s="15"/>
      <c r="R11" s="15"/>
    </row>
    <row r="12" spans="1:18" ht="15.75" customHeight="1" x14ac:dyDescent="0.3">
      <c r="A12" s="17"/>
      <c r="B12" s="17"/>
      <c r="C12" s="17"/>
      <c r="D12" s="17"/>
      <c r="E12" s="14" t="s">
        <v>88</v>
      </c>
      <c r="F12" s="14" t="s">
        <v>88</v>
      </c>
      <c r="G12" s="14" t="s">
        <v>89</v>
      </c>
      <c r="H12" s="14" t="s">
        <v>89</v>
      </c>
      <c r="I12" s="14" t="s">
        <v>83</v>
      </c>
      <c r="J12" s="18" t="s">
        <v>83</v>
      </c>
      <c r="K12" s="15"/>
      <c r="L12" s="16">
        <v>784</v>
      </c>
      <c r="M12" s="15"/>
      <c r="N12" s="15"/>
      <c r="O12" s="15"/>
      <c r="P12" s="15"/>
      <c r="Q12" s="15"/>
      <c r="R12" s="15"/>
    </row>
    <row r="13" spans="1:18" ht="15.75" customHeight="1" x14ac:dyDescent="0.3">
      <c r="A13" s="17"/>
      <c r="B13" s="17"/>
      <c r="C13" s="17"/>
      <c r="D13" s="17"/>
      <c r="E13" s="14" t="s">
        <v>90</v>
      </c>
      <c r="F13" s="14" t="s">
        <v>90</v>
      </c>
      <c r="G13" s="14" t="s">
        <v>90</v>
      </c>
      <c r="H13" s="14" t="s">
        <v>90</v>
      </c>
      <c r="I13" s="14" t="s">
        <v>83</v>
      </c>
      <c r="J13" s="14" t="s">
        <v>83</v>
      </c>
      <c r="K13" s="15"/>
      <c r="L13" s="14" t="s">
        <v>91</v>
      </c>
      <c r="M13" s="15"/>
      <c r="N13" s="15"/>
      <c r="O13" s="15"/>
      <c r="P13" s="15"/>
      <c r="Q13" s="15"/>
      <c r="R13" s="15"/>
    </row>
    <row r="14" spans="1:18" ht="15.75" customHeight="1" x14ac:dyDescent="0.3">
      <c r="A14" s="15"/>
      <c r="B14" s="15"/>
      <c r="C14" s="15"/>
      <c r="D14" s="15"/>
      <c r="E14" s="15"/>
      <c r="F14" s="15"/>
      <c r="G14" s="15"/>
      <c r="H14" s="15"/>
      <c r="I14" s="15"/>
      <c r="J14" s="15"/>
      <c r="K14" s="15"/>
      <c r="L14" s="19" t="s">
        <v>92</v>
      </c>
      <c r="M14" s="20">
        <f t="shared" ref="M14:N14" si="0">M8+M7+M6-M5+M4-M3+M2</f>
        <v>41</v>
      </c>
      <c r="N14" s="20">
        <f t="shared" si="0"/>
        <v>784</v>
      </c>
      <c r="O14" s="15"/>
      <c r="P14" s="15"/>
      <c r="Q14" s="15"/>
      <c r="R14" s="15"/>
    </row>
    <row r="15" spans="1:18" ht="13.2" x14ac:dyDescent="0.25">
      <c r="J15" s="2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 List</vt:lpstr>
      <vt:lpstr>Bill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darji dhruv</cp:lastModifiedBy>
  <dcterms:modified xsi:type="dcterms:W3CDTF">2025-09-17T18:08:37Z</dcterms:modified>
</cp:coreProperties>
</file>